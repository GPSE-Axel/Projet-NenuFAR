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orleansfr-my.sharepoint.com/personal/o22106027_campus_univ-orleans_fr/Documents/"/>
    </mc:Choice>
  </mc:AlternateContent>
  <xr:revisionPtr revIDLastSave="212" documentId="8_{DDA32A8E-EACE-44DE-99A3-E95ACC88E89C}" xr6:coauthVersionLast="47" xr6:coauthVersionMax="47" xr10:uidLastSave="{FADDD477-8542-46B9-88FD-E28ECD67B115}"/>
  <bookViews>
    <workbookView xWindow="-120" yWindow="-120" windowWidth="29040" windowHeight="16440" xr2:uid="{9F1EE4D5-01DD-4943-9D90-36B1E6F150C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M15" i="1" s="1"/>
  <c r="K10" i="1"/>
  <c r="M10" i="1"/>
  <c r="K12" i="1"/>
  <c r="M12" i="1" s="1"/>
  <c r="K8" i="1"/>
  <c r="M8" i="1" s="1"/>
  <c r="K9" i="1"/>
  <c r="M9" i="1" s="1"/>
  <c r="K7" i="1"/>
  <c r="M7" i="1" s="1"/>
  <c r="J5" i="1"/>
  <c r="J4" i="1"/>
  <c r="K2" i="1"/>
  <c r="M2" i="1" s="1"/>
  <c r="K3" i="1"/>
  <c r="M3" i="1" s="1"/>
  <c r="M4" i="1"/>
  <c r="K6" i="1"/>
  <c r="M6" i="1" s="1"/>
  <c r="M5" i="1"/>
</calcChain>
</file>

<file path=xl/sharedStrings.xml><?xml version="1.0" encoding="utf-8"?>
<sst xmlns="http://schemas.openxmlformats.org/spreadsheetml/2006/main" count="104" uniqueCount="55">
  <si>
    <t>SFP-FE-LX-SM1310-BIDI-C</t>
  </si>
  <si>
    <t>Technologie</t>
  </si>
  <si>
    <t>SFP</t>
  </si>
  <si>
    <t>Débit</t>
  </si>
  <si>
    <t>Fibre</t>
  </si>
  <si>
    <t>Interface</t>
  </si>
  <si>
    <t>PHY</t>
  </si>
  <si>
    <t>SFP-FE-LX-SM1550-BIDI-C</t>
  </si>
  <si>
    <t>100Mb/s</t>
  </si>
  <si>
    <t>Connecteur optique</t>
  </si>
  <si>
    <t>LC</t>
  </si>
  <si>
    <t>Quantité</t>
  </si>
  <si>
    <t>Fournisseur</t>
  </si>
  <si>
    <t>Digikey</t>
  </si>
  <si>
    <t>SMF</t>
  </si>
  <si>
    <t>Longueur d'onde</t>
  </si>
  <si>
    <t>Produit</t>
  </si>
  <si>
    <t>1310/1550nm</t>
  </si>
  <si>
    <t>1550/1310nm</t>
  </si>
  <si>
    <t>Prix unitaire (€)</t>
  </si>
  <si>
    <t>Prix total (€)</t>
  </si>
  <si>
    <t>Émetteur</t>
  </si>
  <si>
    <t>PLR237/T10BK</t>
  </si>
  <si>
    <t>PLT133/T10W</t>
  </si>
  <si>
    <t>Émetteur TosLink</t>
  </si>
  <si>
    <t>Récepteur TosLink</t>
  </si>
  <si>
    <t>TTL</t>
  </si>
  <si>
    <t>660nm</t>
  </si>
  <si>
    <t>650nm</t>
  </si>
  <si>
    <t>POF 1mm</t>
  </si>
  <si>
    <t>16Mb/s</t>
  </si>
  <si>
    <t>Distance max</t>
  </si>
  <si>
    <t>15km</t>
  </si>
  <si>
    <t>-</t>
  </si>
  <si>
    <t>25-30m</t>
  </si>
  <si>
    <t>Récepteur</t>
  </si>
  <si>
    <t>Prix unitaire ($)</t>
  </si>
  <si>
    <t>IF-E98</t>
  </si>
  <si>
    <t>IF-D97</t>
  </si>
  <si>
    <t>50Mb/s</t>
  </si>
  <si>
    <t>800nm</t>
  </si>
  <si>
    <t>&gt;75m</t>
  </si>
  <si>
    <t>HFBR-1412Z</t>
  </si>
  <si>
    <t>HFBR-2412Z</t>
  </si>
  <si>
    <t>5Mb/s</t>
  </si>
  <si>
    <t>820nm</t>
  </si>
  <si>
    <t>1,5km</t>
  </si>
  <si>
    <t>AFBR-1624Z</t>
  </si>
  <si>
    <t>AFBR-2624Z</t>
  </si>
  <si>
    <t xml:space="preserve"> 50/125-μm, 62.5/125-μm, 100/140-μm, 
et 200-μm PCS</t>
  </si>
  <si>
    <t>200-μm PCS</t>
  </si>
  <si>
    <t>120m</t>
  </si>
  <si>
    <t>50m</t>
  </si>
  <si>
    <t>VSC8211XVW</t>
  </si>
  <si>
    <t>PHY Nécessaire pour les SFP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</si>
</sst>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DD17-1CFE-4CAC-8A64-9449873DE664}">
  <dimension ref="A1:O15"/>
  <sheetViews>
    <sheetView tabSelected="1" zoomScale="84" workbookViewId="0">
      <selection activeCell="J30" sqref="J30"/>
    </sheetView>
  </sheetViews>
  <sheetFormatPr baseColWidth="10" defaultRowHeight="15" x14ac:dyDescent="0.25"/>
  <cols>
    <col min="1" max="1" width="17" style="1" bestFit="1" customWidth="1"/>
    <col min="2" max="2" width="23.42578125" style="1" bestFit="1" customWidth="1"/>
    <col min="3" max="3" width="8.42578125" style="1" bestFit="1" customWidth="1"/>
    <col min="4" max="4" width="35.5703125" style="1" customWidth="1"/>
    <col min="5" max="6" width="15.5703125" style="1" customWidth="1"/>
    <col min="7" max="7" width="8.7109375" style="1" bestFit="1" customWidth="1"/>
    <col min="8" max="8" width="18.28515625" style="1" customWidth="1"/>
    <col min="9" max="9" width="11.5703125" style="1" bestFit="1" customWidth="1"/>
    <col min="10" max="11" width="14.42578125" style="1" bestFit="1" customWidth="1"/>
    <col min="12" max="12" width="8.5703125" style="1" bestFit="1" customWidth="1"/>
    <col min="13" max="13" width="11.5703125" style="1" bestFit="1" customWidth="1"/>
    <col min="14" max="14" width="2.28515625" style="1" customWidth="1"/>
    <col min="15" max="15" width="24.42578125" style="1" bestFit="1" customWidth="1"/>
    <col min="16" max="16384" width="11.42578125" style="1"/>
  </cols>
  <sheetData>
    <row r="1" spans="1:15" ht="15.75" thickBot="1" x14ac:dyDescent="0.3">
      <c r="A1" s="5" t="s">
        <v>1</v>
      </c>
      <c r="B1" s="6" t="s">
        <v>16</v>
      </c>
      <c r="C1" s="6" t="s">
        <v>3</v>
      </c>
      <c r="D1" s="6" t="s">
        <v>4</v>
      </c>
      <c r="E1" s="6" t="s">
        <v>31</v>
      </c>
      <c r="F1" s="6" t="s">
        <v>15</v>
      </c>
      <c r="G1" s="6" t="s">
        <v>5</v>
      </c>
      <c r="H1" s="6" t="s">
        <v>9</v>
      </c>
      <c r="I1" s="6" t="s">
        <v>12</v>
      </c>
      <c r="J1" s="6" t="s">
        <v>36</v>
      </c>
      <c r="K1" s="6" t="s">
        <v>19</v>
      </c>
      <c r="L1" s="6" t="s">
        <v>11</v>
      </c>
      <c r="M1" s="7" t="s">
        <v>20</v>
      </c>
    </row>
    <row r="2" spans="1:15" x14ac:dyDescent="0.25">
      <c r="A2" s="8" t="s">
        <v>2</v>
      </c>
      <c r="B2" s="9" t="s">
        <v>0</v>
      </c>
      <c r="C2" s="10" t="s">
        <v>8</v>
      </c>
      <c r="D2" s="10" t="s">
        <v>14</v>
      </c>
      <c r="E2" s="10" t="s">
        <v>32</v>
      </c>
      <c r="F2" s="9" t="s">
        <v>17</v>
      </c>
      <c r="G2" s="9" t="s">
        <v>6</v>
      </c>
      <c r="H2" s="9" t="s">
        <v>10</v>
      </c>
      <c r="I2" s="9" t="s">
        <v>13</v>
      </c>
      <c r="J2" s="9">
        <v>27</v>
      </c>
      <c r="K2" s="9">
        <f t="shared" ref="K2:K5" si="0">J2*0.84</f>
        <v>22.68</v>
      </c>
      <c r="L2" s="9">
        <v>1</v>
      </c>
      <c r="M2" s="11">
        <f>K2*L2</f>
        <v>22.68</v>
      </c>
    </row>
    <row r="3" spans="1:15" ht="15.75" thickBot="1" x14ac:dyDescent="0.3">
      <c r="A3" s="12"/>
      <c r="B3" s="13" t="s">
        <v>7</v>
      </c>
      <c r="C3" s="14"/>
      <c r="D3" s="14"/>
      <c r="E3" s="14"/>
      <c r="F3" s="13" t="s">
        <v>18</v>
      </c>
      <c r="G3" s="13" t="s">
        <v>6</v>
      </c>
      <c r="H3" s="13" t="s">
        <v>10</v>
      </c>
      <c r="I3" s="13" t="s">
        <v>13</v>
      </c>
      <c r="J3" s="13">
        <v>27</v>
      </c>
      <c r="K3" s="13">
        <f t="shared" si="0"/>
        <v>22.68</v>
      </c>
      <c r="L3" s="13">
        <v>1</v>
      </c>
      <c r="M3" s="15">
        <f>K3*L3</f>
        <v>22.68</v>
      </c>
    </row>
    <row r="4" spans="1:15" x14ac:dyDescent="0.25">
      <c r="A4" s="27" t="s">
        <v>24</v>
      </c>
      <c r="B4" s="28" t="s">
        <v>23</v>
      </c>
      <c r="C4" s="29" t="s">
        <v>30</v>
      </c>
      <c r="D4" s="29" t="s">
        <v>29</v>
      </c>
      <c r="E4" s="29" t="s">
        <v>34</v>
      </c>
      <c r="F4" s="28" t="s">
        <v>27</v>
      </c>
      <c r="G4" s="28" t="s">
        <v>26</v>
      </c>
      <c r="H4" s="28" t="s">
        <v>33</v>
      </c>
      <c r="I4" s="28" t="s">
        <v>13</v>
      </c>
      <c r="J4" s="28">
        <f>K4/0.84</f>
        <v>2.9285714285714288</v>
      </c>
      <c r="K4" s="28">
        <v>2.46</v>
      </c>
      <c r="L4" s="28">
        <v>3</v>
      </c>
      <c r="M4" s="30">
        <f t="shared" ref="M4:M9" si="1">K4*L4</f>
        <v>7.38</v>
      </c>
    </row>
    <row r="5" spans="1:15" ht="15.75" thickBot="1" x14ac:dyDescent="0.3">
      <c r="A5" s="31" t="s">
        <v>25</v>
      </c>
      <c r="B5" s="32" t="s">
        <v>22</v>
      </c>
      <c r="C5" s="33"/>
      <c r="D5" s="33"/>
      <c r="E5" s="33"/>
      <c r="F5" s="32" t="s">
        <v>28</v>
      </c>
      <c r="G5" s="32" t="s">
        <v>26</v>
      </c>
      <c r="H5" s="32" t="s">
        <v>33</v>
      </c>
      <c r="I5" s="32" t="s">
        <v>13</v>
      </c>
      <c r="J5" s="32">
        <f>K5/0.84</f>
        <v>3.9642857142857144</v>
      </c>
      <c r="K5" s="32">
        <v>3.33</v>
      </c>
      <c r="L5" s="32">
        <v>3</v>
      </c>
      <c r="M5" s="34">
        <f t="shared" si="1"/>
        <v>9.99</v>
      </c>
    </row>
    <row r="6" spans="1:15" x14ac:dyDescent="0.25">
      <c r="A6" s="16" t="s">
        <v>21</v>
      </c>
      <c r="B6" s="18" t="s">
        <v>37</v>
      </c>
      <c r="C6" s="10" t="s">
        <v>39</v>
      </c>
      <c r="D6" s="10" t="s">
        <v>29</v>
      </c>
      <c r="E6" s="10" t="s">
        <v>41</v>
      </c>
      <c r="F6" s="9" t="s">
        <v>28</v>
      </c>
      <c r="G6" s="9" t="s">
        <v>26</v>
      </c>
      <c r="H6" s="9" t="s">
        <v>33</v>
      </c>
      <c r="I6" s="9" t="s">
        <v>13</v>
      </c>
      <c r="J6" s="9">
        <v>16.53</v>
      </c>
      <c r="K6" s="9">
        <f>J6*0.84</f>
        <v>13.885200000000001</v>
      </c>
      <c r="L6" s="9">
        <v>2</v>
      </c>
      <c r="M6" s="11">
        <f t="shared" si="1"/>
        <v>27.770400000000002</v>
      </c>
    </row>
    <row r="7" spans="1:15" ht="15.75" thickBot="1" x14ac:dyDescent="0.3">
      <c r="A7" s="17" t="s">
        <v>35</v>
      </c>
      <c r="B7" s="13" t="s">
        <v>38</v>
      </c>
      <c r="C7" s="14"/>
      <c r="D7" s="14"/>
      <c r="E7" s="14"/>
      <c r="F7" s="13" t="s">
        <v>40</v>
      </c>
      <c r="G7" s="13" t="s">
        <v>26</v>
      </c>
      <c r="H7" s="13" t="s">
        <v>33</v>
      </c>
      <c r="I7" s="13" t="s">
        <v>13</v>
      </c>
      <c r="J7" s="13">
        <v>17.97</v>
      </c>
      <c r="K7" s="13">
        <f>J7*0.84</f>
        <v>15.094799999999999</v>
      </c>
      <c r="L7" s="13">
        <v>2</v>
      </c>
      <c r="M7" s="15">
        <f t="shared" si="1"/>
        <v>30.189599999999999</v>
      </c>
    </row>
    <row r="8" spans="1:15" x14ac:dyDescent="0.25">
      <c r="A8" s="27" t="s">
        <v>21</v>
      </c>
      <c r="B8" s="28" t="s">
        <v>42</v>
      </c>
      <c r="C8" s="29" t="s">
        <v>44</v>
      </c>
      <c r="D8" s="35" t="s">
        <v>49</v>
      </c>
      <c r="E8" s="29" t="s">
        <v>46</v>
      </c>
      <c r="F8" s="28" t="s">
        <v>45</v>
      </c>
      <c r="G8" s="28" t="s">
        <v>26</v>
      </c>
      <c r="H8" s="28" t="s">
        <v>33</v>
      </c>
      <c r="I8" s="28" t="s">
        <v>13</v>
      </c>
      <c r="J8" s="28">
        <v>28</v>
      </c>
      <c r="K8" s="28">
        <f t="shared" ref="K8:K11" si="2">J8*0.84</f>
        <v>23.52</v>
      </c>
      <c r="L8" s="28">
        <v>3</v>
      </c>
      <c r="M8" s="30">
        <f t="shared" si="1"/>
        <v>70.56</v>
      </c>
    </row>
    <row r="9" spans="1:15" ht="15.75" thickBot="1" x14ac:dyDescent="0.3">
      <c r="A9" s="31" t="s">
        <v>35</v>
      </c>
      <c r="B9" s="32" t="s">
        <v>43</v>
      </c>
      <c r="C9" s="33"/>
      <c r="D9" s="36"/>
      <c r="E9" s="33"/>
      <c r="F9" s="32" t="s">
        <v>45</v>
      </c>
      <c r="G9" s="32" t="s">
        <v>26</v>
      </c>
      <c r="H9" s="32" t="s">
        <v>33</v>
      </c>
      <c r="I9" s="32" t="s">
        <v>13</v>
      </c>
      <c r="J9" s="32">
        <v>27.23</v>
      </c>
      <c r="K9" s="32">
        <f t="shared" si="2"/>
        <v>22.873200000000001</v>
      </c>
      <c r="L9" s="32">
        <v>3</v>
      </c>
      <c r="M9" s="34">
        <f t="shared" si="1"/>
        <v>68.619600000000005</v>
      </c>
    </row>
    <row r="10" spans="1:15" x14ac:dyDescent="0.25">
      <c r="A10" s="8" t="s">
        <v>21</v>
      </c>
      <c r="B10" s="10" t="s">
        <v>47</v>
      </c>
      <c r="C10" s="20" t="s">
        <v>39</v>
      </c>
      <c r="D10" s="9" t="s">
        <v>29</v>
      </c>
      <c r="E10" s="9" t="s">
        <v>52</v>
      </c>
      <c r="F10" s="20" t="s">
        <v>28</v>
      </c>
      <c r="G10" s="20" t="s">
        <v>26</v>
      </c>
      <c r="H10" s="20" t="s">
        <v>33</v>
      </c>
      <c r="I10" s="20" t="s">
        <v>13</v>
      </c>
      <c r="J10" s="20">
        <v>21.91</v>
      </c>
      <c r="K10" s="20">
        <f>J10*0.84</f>
        <v>18.404399999999999</v>
      </c>
      <c r="L10" s="20">
        <v>2</v>
      </c>
      <c r="M10" s="23">
        <f>L10*K10</f>
        <v>36.808799999999998</v>
      </c>
    </row>
    <row r="11" spans="1:15" x14ac:dyDescent="0.25">
      <c r="A11" s="19"/>
      <c r="B11" s="3"/>
      <c r="C11" s="4"/>
      <c r="D11" s="2" t="s">
        <v>50</v>
      </c>
      <c r="E11" s="2" t="s">
        <v>51</v>
      </c>
      <c r="F11" s="4"/>
      <c r="G11" s="4"/>
      <c r="H11" s="4"/>
      <c r="I11" s="4"/>
      <c r="J11" s="4"/>
      <c r="K11" s="4"/>
      <c r="L11" s="4"/>
      <c r="M11" s="24"/>
    </row>
    <row r="12" spans="1:15" x14ac:dyDescent="0.25">
      <c r="A12" s="19" t="s">
        <v>35</v>
      </c>
      <c r="B12" s="3" t="s">
        <v>48</v>
      </c>
      <c r="C12" s="21" t="s">
        <v>39</v>
      </c>
      <c r="D12" s="2" t="s">
        <v>29</v>
      </c>
      <c r="E12" s="2" t="s">
        <v>52</v>
      </c>
      <c r="F12" s="21" t="s">
        <v>28</v>
      </c>
      <c r="G12" s="21" t="s">
        <v>26</v>
      </c>
      <c r="H12" s="21" t="s">
        <v>33</v>
      </c>
      <c r="I12" s="21" t="s">
        <v>13</v>
      </c>
      <c r="J12" s="21">
        <v>23.47</v>
      </c>
      <c r="K12" s="21">
        <f>J12*0.84</f>
        <v>19.714799999999997</v>
      </c>
      <c r="L12" s="21">
        <v>2</v>
      </c>
      <c r="M12" s="25">
        <f>L12*K12</f>
        <v>39.429599999999994</v>
      </c>
    </row>
    <row r="13" spans="1:15" ht="15.75" thickBot="1" x14ac:dyDescent="0.3">
      <c r="A13" s="12"/>
      <c r="B13" s="14"/>
      <c r="C13" s="22"/>
      <c r="D13" s="13" t="s">
        <v>50</v>
      </c>
      <c r="E13" s="13" t="s">
        <v>51</v>
      </c>
      <c r="F13" s="22"/>
      <c r="G13" s="22"/>
      <c r="H13" s="22"/>
      <c r="I13" s="22"/>
      <c r="J13" s="22"/>
      <c r="K13" s="22"/>
      <c r="L13" s="22"/>
      <c r="M13" s="26"/>
    </row>
    <row r="14" spans="1:15" ht="9" customHeight="1" thickBot="1" x14ac:dyDescent="0.3"/>
    <row r="15" spans="1:15" ht="15.75" thickBot="1" x14ac:dyDescent="0.3">
      <c r="A15" s="5" t="s">
        <v>6</v>
      </c>
      <c r="B15" s="6" t="s">
        <v>53</v>
      </c>
      <c r="C15" s="6" t="s">
        <v>33</v>
      </c>
      <c r="D15" s="6" t="s">
        <v>33</v>
      </c>
      <c r="E15" s="6" t="s">
        <v>33</v>
      </c>
      <c r="F15" s="6" t="s">
        <v>33</v>
      </c>
      <c r="G15" s="6" t="s">
        <v>33</v>
      </c>
      <c r="H15" s="6" t="s">
        <v>33</v>
      </c>
      <c r="I15" s="6" t="s">
        <v>13</v>
      </c>
      <c r="J15" s="6">
        <v>18.829999999999998</v>
      </c>
      <c r="K15" s="6">
        <f>0.84*J15</f>
        <v>15.817199999999998</v>
      </c>
      <c r="L15" s="6">
        <v>1</v>
      </c>
      <c r="M15" s="7">
        <f>L15*K15</f>
        <v>15.817199999999998</v>
      </c>
      <c r="O15" s="37" t="s">
        <v>54</v>
      </c>
    </row>
  </sheetData>
  <mergeCells count="35">
    <mergeCell ref="C10:C11"/>
    <mergeCell ref="C12:C13"/>
    <mergeCell ref="L10:L11"/>
    <mergeCell ref="L12:L13"/>
    <mergeCell ref="M10:M11"/>
    <mergeCell ref="M12:M13"/>
    <mergeCell ref="F10:F11"/>
    <mergeCell ref="F12:F13"/>
    <mergeCell ref="H10:H11"/>
    <mergeCell ref="H12:H13"/>
    <mergeCell ref="J10:J11"/>
    <mergeCell ref="J12:J13"/>
    <mergeCell ref="K10:K11"/>
    <mergeCell ref="K12:K13"/>
    <mergeCell ref="B10:B11"/>
    <mergeCell ref="A10:A11"/>
    <mergeCell ref="B12:B13"/>
    <mergeCell ref="A12:A13"/>
    <mergeCell ref="I10:I11"/>
    <mergeCell ref="I12:I13"/>
    <mergeCell ref="G10:G11"/>
    <mergeCell ref="G12:G13"/>
    <mergeCell ref="E2:E3"/>
    <mergeCell ref="E4:E5"/>
    <mergeCell ref="E6:E7"/>
    <mergeCell ref="E8:E9"/>
    <mergeCell ref="D2:D3"/>
    <mergeCell ref="D4:D5"/>
    <mergeCell ref="D6:D7"/>
    <mergeCell ref="D8:D9"/>
    <mergeCell ref="A2:A3"/>
    <mergeCell ref="C2:C3"/>
    <mergeCell ref="C4:C5"/>
    <mergeCell ref="C6:C7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Leroy</dc:creator>
  <cp:lastModifiedBy>Axel Leroy</cp:lastModifiedBy>
  <dcterms:created xsi:type="dcterms:W3CDTF">2026-02-10T13:42:49Z</dcterms:created>
  <dcterms:modified xsi:type="dcterms:W3CDTF">2026-02-10T15:39:18Z</dcterms:modified>
</cp:coreProperties>
</file>